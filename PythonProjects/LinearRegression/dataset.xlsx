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<sst xmlns="http://schemas.openxmlformats.org/spreadsheetml/2006/main" count="121" uniqueCount="77">
  <si>
    <t>Timestamp</t>
  </si>
  <si>
    <t xml:space="preserve">Tipe Laptop </t>
  </si>
  <si>
    <t>Spec processor-GPU/jenis laptop</t>
  </si>
  <si>
    <t>Benchmark CPU</t>
  </si>
  <si>
    <t>Benchmark GPU</t>
  </si>
  <si>
    <t>Total Benchmark</t>
  </si>
  <si>
    <t>Rata rata jam penggunaan laptop per hari</t>
  </si>
  <si>
    <t>x-xRata^2 jam</t>
  </si>
  <si>
    <t>y-yRata</t>
  </si>
  <si>
    <t>(x-xRata)*(y-yRata)</t>
  </si>
  <si>
    <t>Laptop notebook</t>
  </si>
  <si>
    <t>intel core i3 1215u, iGPU</t>
  </si>
  <si>
    <t>Intel Core i7 gen 13, RTX 4050</t>
  </si>
  <si>
    <t>Gaemink</t>
  </si>
  <si>
    <t>Intel Core i7 gen 13, RTX 4060</t>
  </si>
  <si>
    <t>b1</t>
  </si>
  <si>
    <t>Intel i5 gen10th, GTX 1660, ram 16GB, SSD 256GB, HDD 1TB</t>
  </si>
  <si>
    <t>b0</t>
  </si>
  <si>
    <t>Intel Core i3 gen 6</t>
  </si>
  <si>
    <t>AMD ATHLON</t>
  </si>
  <si>
    <t>RTX 3050</t>
  </si>
  <si>
    <t>Intel core i3 gen 11, mx350 2gb</t>
  </si>
  <si>
    <t>n (jumlah data)</t>
  </si>
  <si>
    <t xml:space="preserve">Intel core i7 </t>
  </si>
  <si>
    <t>Rata-rata X (jam)</t>
  </si>
  <si>
    <t>Amd ryzen 7 8840hs,amd radeon 780m</t>
  </si>
  <si>
    <t>Rata-rata Y (Total Benchmark)</t>
  </si>
  <si>
    <t xml:space="preserve">Intel Core Ultra 5 125H, Intel Arc Graphics (integrated) </t>
  </si>
  <si>
    <t>Sum (x-xRata)(y-yRata)</t>
  </si>
  <si>
    <t>Intel Core i7 gen 12, RTX 3050</t>
  </si>
  <si>
    <t>Sum (x-xRata)^2</t>
  </si>
  <si>
    <t>Amd 5 3500</t>
  </si>
  <si>
    <t>b (koefisien regresi)</t>
  </si>
  <si>
    <t>sama dengan b1</t>
  </si>
  <si>
    <t>Intel Core I7 Gen 14, RTX 4060</t>
  </si>
  <si>
    <t>a (konstanta)</t>
  </si>
  <si>
    <t>sama dengan b0</t>
  </si>
  <si>
    <t>Intel Core i5 gen 11</t>
  </si>
  <si>
    <t>Persamaan Regresi</t>
  </si>
  <si>
    <t>Intel Core i5 13420H, NVIDIA GeoForce RTX 3050 4GB</t>
  </si>
  <si>
    <t>r (koefisien korelasi)</t>
  </si>
  <si>
    <t>Intel Core i5 13420H, NVIDIA GeoForce 
RTX 3050 4GB</t>
  </si>
  <si>
    <t>R^2 (koefisien determinasi)</t>
  </si>
  <si>
    <t>Intel core i5 gen 12, RTX 3050</t>
  </si>
  <si>
    <t>AMD Ryzen 5, 7000 series</t>
  </si>
  <si>
    <t>i7 1260P, iris XE</t>
  </si>
  <si>
    <t>KET:</t>
  </si>
  <si>
    <t>Macbook</t>
  </si>
  <si>
    <t>MacBook M1</t>
  </si>
  <si>
    <t>X = Rata-rata jam penggunaan</t>
  </si>
  <si>
    <t>AMD ryzen 5 7535HS Radeon Graphics</t>
  </si>
  <si>
    <t>Y = Total Benchmark</t>
  </si>
  <si>
    <t>Intel i5 gen 8</t>
  </si>
  <si>
    <t>Core i5 gen12, RTX 3050</t>
  </si>
  <si>
    <t>Core I7 gen10, GTX 1650</t>
  </si>
  <si>
    <t>MacBook Pro M3</t>
  </si>
  <si>
    <t>Acer Aspire 7 Pro, Core I5-12450H, RTX 3050 6GB, DDR4 1x 8gb 3200</t>
  </si>
  <si>
    <t>intel core i5</t>
  </si>
  <si>
    <t>MSI GF63 Thin 11UC</t>
  </si>
  <si>
    <t>Macbook air M1</t>
  </si>
  <si>
    <t>intel core i3 gen10</t>
  </si>
  <si>
    <t>Intel Core i7-8565U, Intel UHD 620</t>
  </si>
  <si>
    <t>Intel Core i5 gen 13, RTX 3050</t>
  </si>
  <si>
    <t>amd ryzen 5600</t>
  </si>
  <si>
    <t>Intel Core i7 gen 13, RTX 5050</t>
  </si>
  <si>
    <t>Intel Core i5 12450H</t>
  </si>
  <si>
    <t>Inter core I7 gen11 RTX4060</t>
  </si>
  <si>
    <t>MacBook Pro M5</t>
  </si>
  <si>
    <t>Intel Core i5 gen 11 GX 110</t>
  </si>
  <si>
    <t>intel i5 12th 12450h, RTX 4050</t>
  </si>
  <si>
    <t>Ryzen 9 8945HS, RTX 4070</t>
  </si>
  <si>
    <t>RTX 4060Ti</t>
  </si>
  <si>
    <t>Intel Core i3 gen 8</t>
  </si>
  <si>
    <t>Intel core i3 gen 11, Geforce MX350</t>
  </si>
  <si>
    <t>Lenovo Thinkpad T14</t>
  </si>
  <si>
    <t>Lenovo Thinkpad P14 gen1</t>
  </si>
  <si>
    <t>Intel Core i5 gen 12HX, RTX 3050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</si>
</sst>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sz val="10.0"/>
      <color theme="1"/>
      <name val="Roboto"/>
    </font>
    <font>
      <color rgb="FF434343"/>
      <name val="Roboto"/>
    </font>
    <font>
      <color rgb="FF000000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sz val="9.0"/>
      <color rgb="FF444444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1">
    <border/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medium">
        <color rgb="FFF0F6F8"/>
      </left>
      <right style="medium">
        <color rgb="FFF0F6F8"/>
      </right>
      <top style="medium">
        <color rgb="FFF0F6F8"/>
      </top>
      <bottom style="medium">
        <color rgb="FFF0F6F8"/>
      </bottom>
    </border>
    <border>
      <left style="thin">
        <color rgb="FFFFFFFF"/>
      </left>
      <right style="thin">
        <color rgb="FF442F65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3" fillId="3" fontId="4" numFmtId="0" xfId="0" applyAlignment="1" applyBorder="1" applyFill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4" fillId="0" fontId="5" numFmtId="3" xfId="0" applyAlignment="1" applyBorder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5" fillId="4" fontId="4" numFmtId="0" xfId="0" applyAlignment="1" applyBorder="1" applyFill="1" applyFont="1">
      <alignment readingOrder="0" shrinkToFit="0" vertical="center" wrapText="0"/>
    </xf>
    <xf borderId="3" fillId="3" fontId="4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readingOrder="0"/>
    </xf>
    <xf borderId="0" fillId="0" fontId="6" numFmtId="0" xfId="0" applyFont="1"/>
    <xf borderId="5" fillId="4" fontId="4" numFmtId="0" xfId="0" applyAlignment="1" applyBorder="1" applyFont="1">
      <alignment horizontal="right" readingOrder="0" shrinkToFit="0" vertical="center" wrapText="0"/>
    </xf>
    <xf borderId="0" fillId="0" fontId="6" numFmtId="3" xfId="0" applyFont="1" applyNumberFormat="1"/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5" fillId="4" fontId="4" numFmtId="0" xfId="0" applyAlignment="1" applyBorder="1" applyFont="1">
      <alignment horizontal="right" shrinkToFit="0" vertical="center" wrapText="0"/>
    </xf>
    <xf borderId="0" fillId="3" fontId="8" numFmtId="3" xfId="0" applyAlignment="1" applyFont="1" applyNumberFormat="1">
      <alignment horizontal="right" readingOrder="0" shrinkToFit="0" vertical="center" wrapText="0"/>
    </xf>
    <xf borderId="0" fillId="3" fontId="8" numFmtId="0" xfId="0" applyAlignment="1" applyFont="1">
      <alignment horizontal="right" readingOrder="0" shrinkToFit="0" vertical="center" wrapText="0"/>
    </xf>
    <xf borderId="3" fillId="3" fontId="4" numFmtId="0" xfId="0" applyAlignment="1" applyBorder="1" applyFont="1">
      <alignment horizontal="right" shrinkToFit="0" vertical="center" wrapText="0"/>
    </xf>
    <xf borderId="0" fillId="0" fontId="7" numFmtId="3" xfId="0" applyAlignment="1" applyFont="1" applyNumberForma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center" wrapText="0"/>
    </xf>
    <xf borderId="6" fillId="3" fontId="8" numFmtId="3" xfId="0" applyAlignment="1" applyBorder="1" applyFont="1" applyNumberFormat="1">
      <alignment horizontal="right" readingOrder="0" shrinkToFit="0" vertical="top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7" fillId="3" fontId="4" numFmtId="0" xfId="0" applyAlignment="1" applyBorder="1" applyFont="1">
      <alignment readingOrder="0" shrinkToFit="0" vertical="center" wrapText="0"/>
    </xf>
    <xf borderId="8" fillId="0" fontId="1" numFmtId="3" xfId="0" applyAlignment="1" applyBorder="1" applyFont="1" applyNumberFormat="1">
      <alignment shrinkToFit="0" vertical="center" wrapText="0"/>
    </xf>
    <xf borderId="9" fillId="3" fontId="4" numFmtId="0" xfId="0" applyAlignment="1" applyBorder="1" applyFont="1">
      <alignment readingOrder="0" shrinkToFit="0" vertical="center" wrapText="0"/>
    </xf>
    <xf borderId="10" fillId="3" fontId="4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D6CFE0"/>
          <bgColor rgb="FFD6CFE0"/>
        </patternFill>
      </fill>
      <border/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Form Responses 1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8" displayName="Form_Responses" name="Form_Responses" id="1">
  <tableColumns count="5">
    <tableColumn name="Timestamp" id="1"/>
    <tableColumn name="Tipe Laptop " id="2"/>
    <tableColumn name="Spec processor-GPU/jenis laptop" id="3"/>
    <tableColumn name="Benchmark CPU" id="4"/>
    <tableColumn name="Benchmark GPU" id="5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totalsRowCount="1" ref="F1:J49" displayName="Table1" name="Table1" id="2">
  <tableColumns count="5">
    <tableColumn totalsRowFunction="custom" name="Total Benchmark" id="1"/>
    <tableColumn totalsRowFunction="custom" name="Rata rata jam penggunaan laptop per hari" id="2"/>
    <tableColumn totalsRowFunction="custom" name="x-xRata^2 jam" id="3"/>
    <tableColumn name="y-yRata" id="4"/>
    <tableColumn name="(x-xRata)*(y-yRata)" id="5"/>
  </tableColumns>
  <tableStyleInfo name="Form Responses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42.5"/>
    <col customWidth="1" min="4" max="4" width="20.0"/>
    <col customWidth="1" min="5" max="8" width="18.88"/>
    <col customWidth="1" min="9" max="9" width="19.75"/>
    <col customWidth="1" min="10" max="10" width="22.88"/>
    <col customWidth="1" min="11" max="11" width="20.5"/>
    <col customWidth="1" min="12" max="12" width="24.0"/>
    <col customWidth="1" min="13" max="16" width="20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ht="22.5" customHeight="1">
      <c r="A2" s="7">
        <v>46210.474571307874</v>
      </c>
      <c r="B2" s="8" t="s">
        <v>10</v>
      </c>
      <c r="C2" s="8" t="s">
        <v>11</v>
      </c>
      <c r="D2" s="9">
        <v>13959.0</v>
      </c>
      <c r="E2" s="8">
        <v>0.0</v>
      </c>
      <c r="F2" s="9">
        <f t="shared" ref="F2:F48" si="1">D2+E2</f>
        <v>13959</v>
      </c>
      <c r="G2" s="10">
        <v>4.0</v>
      </c>
      <c r="H2" s="11">
        <f t="shared" ref="H2:H48" si="2">POWER(G2-$G$49,2)</f>
        <v>6.737890448</v>
      </c>
      <c r="I2" s="12">
        <f t="shared" ref="I2:I48" si="3">F2-AVERAGE($F$2:$F$48)</f>
        <v>-8325.765957</v>
      </c>
      <c r="J2" s="13">
        <f>(G2-G49)*I2</f>
        <v>21611.5627</v>
      </c>
    </row>
    <row r="3" ht="22.5" customHeight="1">
      <c r="A3" s="7">
        <v>46210.47676572917</v>
      </c>
      <c r="B3" s="8" t="s">
        <v>10</v>
      </c>
      <c r="C3" s="8" t="s">
        <v>12</v>
      </c>
      <c r="D3" s="9">
        <v>23329.0</v>
      </c>
      <c r="E3" s="8">
        <v>14244.0</v>
      </c>
      <c r="F3" s="9">
        <f t="shared" si="1"/>
        <v>37573</v>
      </c>
      <c r="G3" s="14">
        <v>10.0</v>
      </c>
      <c r="H3" s="11">
        <f t="shared" si="2"/>
        <v>11.58895428</v>
      </c>
      <c r="I3" s="12">
        <f t="shared" si="3"/>
        <v>15288.23404</v>
      </c>
      <c r="J3" s="13">
        <f>(G3-G49)*I3</f>
        <v>52045.05206</v>
      </c>
    </row>
    <row r="4" ht="22.5" customHeight="1">
      <c r="A4" s="7">
        <v>46210.477532997684</v>
      </c>
      <c r="B4" s="8" t="s">
        <v>13</v>
      </c>
      <c r="C4" s="8" t="s">
        <v>14</v>
      </c>
      <c r="D4" s="9">
        <v>23329.0</v>
      </c>
      <c r="E4" s="8">
        <v>17361.0</v>
      </c>
      <c r="F4" s="9">
        <f t="shared" si="1"/>
        <v>40690</v>
      </c>
      <c r="G4" s="15">
        <v>5.0</v>
      </c>
      <c r="H4" s="11">
        <f t="shared" si="2"/>
        <v>2.546401086</v>
      </c>
      <c r="I4" s="12">
        <f t="shared" si="3"/>
        <v>18405.23404</v>
      </c>
      <c r="J4" s="13">
        <f>(G4-G49)*I4</f>
        <v>-29370.05432</v>
      </c>
      <c r="L4" s="16" t="s">
        <v>15</v>
      </c>
      <c r="M4" s="17">
        <f>M12/M13</f>
        <v>1266.15029</v>
      </c>
    </row>
    <row r="5" ht="22.5" customHeight="1">
      <c r="A5" s="7">
        <v>46210.47758748842</v>
      </c>
      <c r="B5" s="8" t="s">
        <v>13</v>
      </c>
      <c r="C5" s="8" t="s">
        <v>16</v>
      </c>
      <c r="D5" s="9">
        <v>10933.0</v>
      </c>
      <c r="E5" s="8">
        <v>11618.0</v>
      </c>
      <c r="F5" s="9">
        <f t="shared" si="1"/>
        <v>22551</v>
      </c>
      <c r="G5" s="18">
        <v>5.5</v>
      </c>
      <c r="H5" s="11">
        <f t="shared" si="2"/>
        <v>1.200656406</v>
      </c>
      <c r="I5" s="12">
        <f t="shared" si="3"/>
        <v>266.2340426</v>
      </c>
      <c r="J5" s="13">
        <f>(G5-G49)*I5</f>
        <v>-291.724536</v>
      </c>
      <c r="L5" s="16" t="s">
        <v>17</v>
      </c>
      <c r="M5" s="19">
        <f>(Table1[[#TOTALS],[Total Benchmark]]-(M4*G50))</f>
        <v>654877.4102</v>
      </c>
    </row>
    <row r="6" ht="22.5" customHeight="1">
      <c r="A6" s="7">
        <v>46210.47918030093</v>
      </c>
      <c r="B6" s="8" t="s">
        <v>10</v>
      </c>
      <c r="C6" s="8" t="s">
        <v>18</v>
      </c>
      <c r="D6" s="9">
        <v>3513.0</v>
      </c>
      <c r="E6" s="8">
        <v>0.0</v>
      </c>
      <c r="F6" s="9">
        <f t="shared" si="1"/>
        <v>3513</v>
      </c>
      <c r="G6" s="10">
        <v>8.0</v>
      </c>
      <c r="H6" s="11">
        <f t="shared" si="2"/>
        <v>1.971933001</v>
      </c>
      <c r="I6" s="12">
        <f t="shared" si="3"/>
        <v>-18771.76596</v>
      </c>
      <c r="J6" s="13">
        <f>(G6-G49)*I6</f>
        <v>-26360.3522</v>
      </c>
      <c r="L6" s="17"/>
      <c r="M6" s="17">
        <f>M5/M9</f>
        <v>13933.56192</v>
      </c>
    </row>
    <row r="7" ht="22.5" customHeight="1">
      <c r="A7" s="7">
        <v>46210.483691574074</v>
      </c>
      <c r="B7" s="8" t="s">
        <v>10</v>
      </c>
      <c r="C7" s="8" t="s">
        <v>19</v>
      </c>
      <c r="D7" s="8">
        <v>254.0</v>
      </c>
      <c r="E7" s="8">
        <v>0.0</v>
      </c>
      <c r="F7" s="8">
        <f t="shared" si="1"/>
        <v>254</v>
      </c>
      <c r="G7" s="14">
        <v>2.0</v>
      </c>
      <c r="H7" s="11">
        <f t="shared" si="2"/>
        <v>21.12086917</v>
      </c>
      <c r="I7" s="12">
        <f t="shared" si="3"/>
        <v>-22030.76596</v>
      </c>
      <c r="J7" s="13">
        <f>(G7-G49)*I7</f>
        <v>101247.7755</v>
      </c>
      <c r="L7" s="17"/>
      <c r="M7" s="17"/>
    </row>
    <row r="8" ht="22.5" customHeight="1">
      <c r="A8" s="7">
        <v>46210.48382887732</v>
      </c>
      <c r="B8" s="8" t="s">
        <v>13</v>
      </c>
      <c r="C8" s="8" t="s">
        <v>20</v>
      </c>
      <c r="D8" s="9">
        <v>15194.0</v>
      </c>
      <c r="E8" s="8">
        <v>9506.0</v>
      </c>
      <c r="F8" s="9">
        <f t="shared" si="1"/>
        <v>24700</v>
      </c>
      <c r="G8" s="10">
        <v>10.0</v>
      </c>
      <c r="H8" s="11">
        <f t="shared" si="2"/>
        <v>11.58895428</v>
      </c>
      <c r="I8" s="12">
        <f t="shared" si="3"/>
        <v>2415.234043</v>
      </c>
      <c r="J8" s="13">
        <f>(G8-G49)*I8</f>
        <v>8222.073336</v>
      </c>
    </row>
    <row r="9" ht="22.5" customHeight="1">
      <c r="A9" s="7">
        <v>46210.48595116899</v>
      </c>
      <c r="B9" s="8" t="s">
        <v>10</v>
      </c>
      <c r="C9" s="8" t="s">
        <v>21</v>
      </c>
      <c r="D9" s="9">
        <v>11357.0</v>
      </c>
      <c r="E9" s="8">
        <v>2816.0</v>
      </c>
      <c r="F9" s="9">
        <f t="shared" si="1"/>
        <v>14173</v>
      </c>
      <c r="G9" s="10">
        <v>5.0</v>
      </c>
      <c r="H9" s="11">
        <f t="shared" si="2"/>
        <v>2.546401086</v>
      </c>
      <c r="I9" s="12">
        <f t="shared" si="3"/>
        <v>-8111.765957</v>
      </c>
      <c r="J9" s="13">
        <f>(G9-G49)*I9</f>
        <v>12944.30738</v>
      </c>
      <c r="L9" s="20" t="s">
        <v>22</v>
      </c>
      <c r="M9" s="21">
        <v>47.0</v>
      </c>
    </row>
    <row r="10" ht="22.5" customHeight="1">
      <c r="A10" s="7">
        <v>46210.48641885417</v>
      </c>
      <c r="B10" s="8" t="s">
        <v>10</v>
      </c>
      <c r="C10" s="8" t="s">
        <v>23</v>
      </c>
      <c r="D10" s="9">
        <v>11532.0</v>
      </c>
      <c r="E10" s="8">
        <v>0.0</v>
      </c>
      <c r="F10" s="9">
        <f t="shared" si="1"/>
        <v>11532</v>
      </c>
      <c r="G10" s="22">
        <v>5.0</v>
      </c>
      <c r="H10" s="11">
        <f t="shared" si="2"/>
        <v>2.546401086</v>
      </c>
      <c r="I10" s="12">
        <f t="shared" si="3"/>
        <v>-10752.76596</v>
      </c>
      <c r="J10" s="13">
        <f>(G10-G49)*I10</f>
        <v>17158.66908</v>
      </c>
      <c r="L10" s="20" t="s">
        <v>24</v>
      </c>
      <c r="M10" s="21">
        <f>G49</f>
        <v>6.595744681</v>
      </c>
    </row>
    <row r="11" ht="22.5" customHeight="1">
      <c r="A11" s="7">
        <v>46210.489506990736</v>
      </c>
      <c r="B11" s="8" t="s">
        <v>10</v>
      </c>
      <c r="C11" s="8" t="s">
        <v>25</v>
      </c>
      <c r="D11" s="23">
        <v>24787.0</v>
      </c>
      <c r="E11" s="24">
        <v>6797.0</v>
      </c>
      <c r="F11" s="9">
        <f t="shared" si="1"/>
        <v>31584</v>
      </c>
      <c r="G11" s="25">
        <v>15.0</v>
      </c>
      <c r="H11" s="11">
        <f t="shared" si="2"/>
        <v>70.63150747</v>
      </c>
      <c r="I11" s="12">
        <f t="shared" si="3"/>
        <v>9299.234043</v>
      </c>
      <c r="J11" s="13">
        <f>(G11-G49)*I11</f>
        <v>78153.13717</v>
      </c>
      <c r="L11" s="20" t="s">
        <v>26</v>
      </c>
      <c r="M11" s="26">
        <f>AVERAGE(F2:F48)</f>
        <v>22284.76596</v>
      </c>
    </row>
    <row r="12" ht="22.5" customHeight="1">
      <c r="A12" s="7">
        <v>46210.48953622685</v>
      </c>
      <c r="B12" s="8" t="s">
        <v>10</v>
      </c>
      <c r="C12" s="8" t="s">
        <v>27</v>
      </c>
      <c r="D12" s="23">
        <v>20175.0</v>
      </c>
      <c r="E12" s="8">
        <v>0.0</v>
      </c>
      <c r="F12" s="9">
        <f t="shared" si="1"/>
        <v>20175</v>
      </c>
      <c r="G12" s="14">
        <v>1.0</v>
      </c>
      <c r="H12" s="11">
        <f t="shared" si="2"/>
        <v>31.31235853</v>
      </c>
      <c r="I12" s="12">
        <f t="shared" si="3"/>
        <v>-2109.765957</v>
      </c>
      <c r="J12" s="13">
        <f>(G12-G49)*I12</f>
        <v>11805.71163</v>
      </c>
      <c r="L12" s="20" t="s">
        <v>28</v>
      </c>
      <c r="M12" s="21">
        <f>SUM(J2:J48)</f>
        <v>602458.5532</v>
      </c>
    </row>
    <row r="13" ht="22.5" customHeight="1">
      <c r="A13" s="7">
        <v>46210.48998174768</v>
      </c>
      <c r="B13" s="8" t="s">
        <v>13</v>
      </c>
      <c r="C13" s="8" t="s">
        <v>29</v>
      </c>
      <c r="D13" s="27">
        <v>22516.0</v>
      </c>
      <c r="E13" s="8">
        <v>9506.0</v>
      </c>
      <c r="F13" s="9">
        <f t="shared" si="1"/>
        <v>32022</v>
      </c>
      <c r="G13" s="10">
        <v>6.0</v>
      </c>
      <c r="H13" s="11">
        <f t="shared" si="2"/>
        <v>0.3549117248</v>
      </c>
      <c r="I13" s="12">
        <f t="shared" si="3"/>
        <v>9737.234043</v>
      </c>
      <c r="J13" s="13">
        <f>(G13-G49)*I13</f>
        <v>-5800.905387</v>
      </c>
      <c r="L13" s="20" t="s">
        <v>30</v>
      </c>
      <c r="M13" s="21">
        <f>SUM(H2:H48)</f>
        <v>475.8191489</v>
      </c>
    </row>
    <row r="14" ht="22.5" customHeight="1">
      <c r="A14" s="7">
        <v>46210.49114283565</v>
      </c>
      <c r="B14" s="8" t="s">
        <v>10</v>
      </c>
      <c r="C14" s="8" t="s">
        <v>31</v>
      </c>
      <c r="D14" s="27">
        <v>12755.0</v>
      </c>
      <c r="E14" s="8">
        <v>0.0</v>
      </c>
      <c r="F14" s="9">
        <f t="shared" si="1"/>
        <v>12755</v>
      </c>
      <c r="G14" s="14">
        <v>2.0</v>
      </c>
      <c r="H14" s="11">
        <f t="shared" si="2"/>
        <v>21.12086917</v>
      </c>
      <c r="I14" s="12">
        <f t="shared" si="3"/>
        <v>-9529.765957</v>
      </c>
      <c r="J14" s="13">
        <f>(G14-G49)*I14</f>
        <v>43796.37121</v>
      </c>
      <c r="L14" s="20" t="s">
        <v>32</v>
      </c>
      <c r="M14" s="21">
        <f>M12/M13</f>
        <v>1266.15029</v>
      </c>
      <c r="O14" s="16" t="s">
        <v>33</v>
      </c>
      <c r="P14" s="16"/>
    </row>
    <row r="15" ht="22.5" customHeight="1">
      <c r="A15" s="7">
        <v>46210.4931358912</v>
      </c>
      <c r="B15" s="8" t="s">
        <v>13</v>
      </c>
      <c r="C15" s="8" t="s">
        <v>34</v>
      </c>
      <c r="D15" s="27">
        <v>33582.0</v>
      </c>
      <c r="E15" s="8">
        <v>17361.0</v>
      </c>
      <c r="F15" s="9">
        <f t="shared" si="1"/>
        <v>50943</v>
      </c>
      <c r="G15" s="15">
        <v>6.5</v>
      </c>
      <c r="H15" s="11">
        <f t="shared" si="2"/>
        <v>0.009167043911</v>
      </c>
      <c r="I15" s="12">
        <f t="shared" si="3"/>
        <v>28658.23404</v>
      </c>
      <c r="J15" s="13">
        <f>(G15-G49)*I15</f>
        <v>-2743.873472</v>
      </c>
      <c r="L15" s="20" t="s">
        <v>35</v>
      </c>
      <c r="M15" s="26">
        <f>M11-M14*M10</f>
        <v>13933.56192</v>
      </c>
      <c r="O15" s="16" t="s">
        <v>36</v>
      </c>
      <c r="P15" s="16"/>
    </row>
    <row r="16" ht="22.5" customHeight="1">
      <c r="A16" s="7">
        <v>46210.499440162035</v>
      </c>
      <c r="B16" s="8" t="s">
        <v>10</v>
      </c>
      <c r="C16" s="8" t="s">
        <v>37</v>
      </c>
      <c r="D16" s="27">
        <v>15153.0</v>
      </c>
      <c r="E16" s="8">
        <v>0.0</v>
      </c>
      <c r="F16" s="9">
        <f t="shared" si="1"/>
        <v>15153</v>
      </c>
      <c r="G16" s="14">
        <v>10.0</v>
      </c>
      <c r="H16" s="11">
        <f t="shared" si="2"/>
        <v>11.58895428</v>
      </c>
      <c r="I16" s="12">
        <f t="shared" si="3"/>
        <v>-7131.765957</v>
      </c>
      <c r="J16" s="13">
        <f>(G16-G49)*I16</f>
        <v>-24278.3522</v>
      </c>
      <c r="L16" s="28" t="s">
        <v>38</v>
      </c>
      <c r="M16" s="20" t="str">
        <f>CONCATENATE("Y = ",TEXT(M15,"0.0000")," + ",TEXT(M14,"0.0000"),"X")</f>
        <v>Y = 13933.5619 + 1266.1503X</v>
      </c>
      <c r="O16" s="17"/>
      <c r="P16" s="17"/>
    </row>
    <row r="17" ht="22.5" customHeight="1">
      <c r="A17" s="7">
        <v>46210.499633263884</v>
      </c>
      <c r="B17" s="8" t="s">
        <v>10</v>
      </c>
      <c r="C17" s="8" t="s">
        <v>39</v>
      </c>
      <c r="D17" s="27">
        <v>16878.0</v>
      </c>
      <c r="E17" s="8">
        <v>9506.0</v>
      </c>
      <c r="F17" s="9">
        <f t="shared" si="1"/>
        <v>26384</v>
      </c>
      <c r="G17" s="10">
        <v>8.0</v>
      </c>
      <c r="H17" s="11">
        <f t="shared" si="2"/>
        <v>1.971933001</v>
      </c>
      <c r="I17" s="12">
        <f t="shared" si="3"/>
        <v>4099.234043</v>
      </c>
      <c r="J17" s="13">
        <f>(G17-G49)*I17</f>
        <v>5756.371209</v>
      </c>
      <c r="L17" s="20" t="s">
        <v>40</v>
      </c>
      <c r="M17" s="21"/>
    </row>
    <row r="18" ht="22.5" customHeight="1">
      <c r="A18" s="7">
        <v>46210.50005365741</v>
      </c>
      <c r="B18" s="8" t="s">
        <v>13</v>
      </c>
      <c r="C18" s="8" t="s">
        <v>41</v>
      </c>
      <c r="D18" s="27">
        <v>16878.0</v>
      </c>
      <c r="E18" s="8">
        <v>9506.0</v>
      </c>
      <c r="F18" s="9">
        <f t="shared" si="1"/>
        <v>26384</v>
      </c>
      <c r="G18" s="14">
        <v>8.0</v>
      </c>
      <c r="H18" s="11">
        <f t="shared" si="2"/>
        <v>1.971933001</v>
      </c>
      <c r="I18" s="12">
        <f t="shared" si="3"/>
        <v>4099.234043</v>
      </c>
      <c r="J18" s="13">
        <f>(G18-G49)*I18</f>
        <v>5756.371209</v>
      </c>
      <c r="L18" s="20" t="s">
        <v>42</v>
      </c>
      <c r="M18" s="21"/>
    </row>
    <row r="19" ht="22.5" customHeight="1">
      <c r="A19" s="7">
        <v>46210.500792164356</v>
      </c>
      <c r="B19" s="8" t="s">
        <v>10</v>
      </c>
      <c r="C19" s="8" t="s">
        <v>43</v>
      </c>
      <c r="D19" s="27">
        <v>17696.0</v>
      </c>
      <c r="E19" s="8">
        <v>9506.0</v>
      </c>
      <c r="F19" s="9">
        <f t="shared" si="1"/>
        <v>27202</v>
      </c>
      <c r="G19" s="10">
        <v>4.0</v>
      </c>
      <c r="H19" s="11">
        <f t="shared" si="2"/>
        <v>6.737890448</v>
      </c>
      <c r="I19" s="12">
        <f t="shared" si="3"/>
        <v>4917.234043</v>
      </c>
      <c r="J19" s="13">
        <f>(G19-G49)*I19</f>
        <v>-12763.88411</v>
      </c>
    </row>
    <row r="20" ht="22.5" customHeight="1">
      <c r="A20" s="7">
        <v>46210.501106944444</v>
      </c>
      <c r="B20" s="8" t="s">
        <v>10</v>
      </c>
      <c r="C20" s="8" t="s">
        <v>44</v>
      </c>
      <c r="D20" s="27">
        <v>12312.0</v>
      </c>
      <c r="E20" s="8">
        <v>1237.0</v>
      </c>
      <c r="F20" s="9">
        <f t="shared" si="1"/>
        <v>13549</v>
      </c>
      <c r="G20" s="14">
        <v>6.0</v>
      </c>
      <c r="H20" s="11">
        <f t="shared" si="2"/>
        <v>0.3549117248</v>
      </c>
      <c r="I20" s="12">
        <f t="shared" si="3"/>
        <v>-8735.765957</v>
      </c>
      <c r="J20" s="13">
        <f>(G20-G49)*I20</f>
        <v>5204.286102</v>
      </c>
    </row>
    <row r="21" ht="22.5" customHeight="1">
      <c r="A21" s="7">
        <v>46210.50288402778</v>
      </c>
      <c r="B21" s="8" t="s">
        <v>10</v>
      </c>
      <c r="C21" s="8" t="s">
        <v>45</v>
      </c>
      <c r="D21" s="27">
        <v>16488.0</v>
      </c>
      <c r="E21" s="8">
        <v>2593.0</v>
      </c>
      <c r="F21" s="9">
        <f t="shared" si="1"/>
        <v>19081</v>
      </c>
      <c r="G21" s="10">
        <v>14.0</v>
      </c>
      <c r="H21" s="11">
        <f t="shared" si="2"/>
        <v>54.82299683</v>
      </c>
      <c r="I21" s="12">
        <f t="shared" si="3"/>
        <v>-3203.765957</v>
      </c>
      <c r="J21" s="13">
        <f>(G21-G49)*I21</f>
        <v>-23721.50113</v>
      </c>
      <c r="L21" s="29" t="s">
        <v>46</v>
      </c>
    </row>
    <row r="22" ht="22.5" customHeight="1">
      <c r="A22" s="7">
        <v>46210.5052359375</v>
      </c>
      <c r="B22" s="8" t="s">
        <v>47</v>
      </c>
      <c r="C22" s="8" t="s">
        <v>48</v>
      </c>
      <c r="D22" s="27">
        <v>14126.0</v>
      </c>
      <c r="E22" s="8">
        <v>0.0</v>
      </c>
      <c r="F22" s="9">
        <f t="shared" si="1"/>
        <v>14126</v>
      </c>
      <c r="G22" s="14">
        <v>5.0</v>
      </c>
      <c r="H22" s="11">
        <f t="shared" si="2"/>
        <v>2.546401086</v>
      </c>
      <c r="I22" s="12">
        <f t="shared" si="3"/>
        <v>-8158.765957</v>
      </c>
      <c r="J22" s="13">
        <f>(G22-G49)*I22</f>
        <v>13019.30738</v>
      </c>
      <c r="L22" s="20" t="s">
        <v>49</v>
      </c>
    </row>
    <row r="23" ht="22.5" customHeight="1">
      <c r="A23" s="7">
        <v>46210.5098496875</v>
      </c>
      <c r="B23" s="8" t="s">
        <v>13</v>
      </c>
      <c r="C23" s="8" t="s">
        <v>50</v>
      </c>
      <c r="D23" s="27">
        <v>12312.0</v>
      </c>
      <c r="E23" s="8">
        <v>2216.0</v>
      </c>
      <c r="F23" s="9">
        <f t="shared" si="1"/>
        <v>14528</v>
      </c>
      <c r="G23" s="25">
        <v>10.0</v>
      </c>
      <c r="H23" s="11">
        <f t="shared" si="2"/>
        <v>11.58895428</v>
      </c>
      <c r="I23" s="12">
        <f t="shared" si="3"/>
        <v>-7756.765957</v>
      </c>
      <c r="J23" s="13">
        <f>(G23-G49)*I23</f>
        <v>-26406.01177</v>
      </c>
      <c r="L23" s="20" t="s">
        <v>51</v>
      </c>
    </row>
    <row r="24" ht="22.5" customHeight="1">
      <c r="A24" s="7">
        <v>46210.512819131945</v>
      </c>
      <c r="B24" s="8" t="s">
        <v>10</v>
      </c>
      <c r="C24" s="8" t="s">
        <v>52</v>
      </c>
      <c r="D24" s="27">
        <v>7502.0</v>
      </c>
      <c r="E24" s="8">
        <v>0.0</v>
      </c>
      <c r="F24" s="9">
        <f t="shared" si="1"/>
        <v>7502</v>
      </c>
      <c r="G24" s="14">
        <v>6.0</v>
      </c>
      <c r="H24" s="11">
        <f t="shared" si="2"/>
        <v>0.3549117248</v>
      </c>
      <c r="I24" s="12">
        <f t="shared" si="3"/>
        <v>-14782.76596</v>
      </c>
      <c r="J24" s="13">
        <f>(G24-G49)*I24</f>
        <v>8806.754187</v>
      </c>
    </row>
    <row r="25" ht="22.5" customHeight="1">
      <c r="A25" s="7">
        <v>46210.517669884255</v>
      </c>
      <c r="B25" s="8" t="s">
        <v>13</v>
      </c>
      <c r="C25" s="8" t="s">
        <v>53</v>
      </c>
      <c r="D25" s="27">
        <v>20312.0</v>
      </c>
      <c r="E25" s="8">
        <v>9506.0</v>
      </c>
      <c r="F25" s="9">
        <f t="shared" si="1"/>
        <v>29818</v>
      </c>
      <c r="G25" s="10">
        <v>5.0</v>
      </c>
      <c r="H25" s="11">
        <f t="shared" si="2"/>
        <v>2.546401086</v>
      </c>
      <c r="I25" s="12">
        <f t="shared" si="3"/>
        <v>7533.234043</v>
      </c>
      <c r="J25" s="13">
        <f>(G25-G49)*I25</f>
        <v>-12021.11815</v>
      </c>
    </row>
    <row r="26" ht="22.5" customHeight="1">
      <c r="A26" s="7">
        <v>46210.524104895834</v>
      </c>
      <c r="B26" s="8" t="s">
        <v>13</v>
      </c>
      <c r="C26" s="8" t="s">
        <v>54</v>
      </c>
      <c r="D26" s="27">
        <v>11526.0</v>
      </c>
      <c r="E26" s="24">
        <v>6968.0</v>
      </c>
      <c r="F26" s="9">
        <f t="shared" si="1"/>
        <v>18494</v>
      </c>
      <c r="G26" s="10">
        <v>8.0</v>
      </c>
      <c r="H26" s="11">
        <f t="shared" si="2"/>
        <v>1.971933001</v>
      </c>
      <c r="I26" s="12">
        <f t="shared" si="3"/>
        <v>-3790.765957</v>
      </c>
      <c r="J26" s="13">
        <f>(G26-G49)*I26</f>
        <v>-5323.203259</v>
      </c>
    </row>
    <row r="27" ht="22.5" customHeight="1">
      <c r="A27" s="7">
        <v>46210.52755138889</v>
      </c>
      <c r="B27" s="8" t="s">
        <v>47</v>
      </c>
      <c r="C27" s="8" t="s">
        <v>55</v>
      </c>
      <c r="D27" s="23">
        <v>24018.0</v>
      </c>
      <c r="E27" s="8">
        <v>0.0</v>
      </c>
      <c r="F27" s="9">
        <f t="shared" si="1"/>
        <v>24018</v>
      </c>
      <c r="G27" s="14">
        <v>5.0</v>
      </c>
      <c r="H27" s="11">
        <f t="shared" si="2"/>
        <v>2.546401086</v>
      </c>
      <c r="I27" s="12">
        <f t="shared" si="3"/>
        <v>1733.234043</v>
      </c>
      <c r="J27" s="13">
        <f>(G27-G49)*I27</f>
        <v>-2765.799004</v>
      </c>
    </row>
    <row r="28" ht="22.5" customHeight="1">
      <c r="A28" s="7">
        <v>46210.53953033565</v>
      </c>
      <c r="B28" s="8" t="s">
        <v>13</v>
      </c>
      <c r="C28" s="8" t="s">
        <v>56</v>
      </c>
      <c r="D28" s="27">
        <v>15949.0</v>
      </c>
      <c r="E28" s="8">
        <v>9506.0</v>
      </c>
      <c r="F28" s="9">
        <f t="shared" si="1"/>
        <v>25455</v>
      </c>
      <c r="G28" s="10">
        <v>5.0</v>
      </c>
      <c r="H28" s="11">
        <f t="shared" si="2"/>
        <v>2.546401086</v>
      </c>
      <c r="I28" s="12">
        <f t="shared" si="3"/>
        <v>3170.234043</v>
      </c>
      <c r="J28" s="13">
        <f>(G28-G49)*I28</f>
        <v>-5058.88411</v>
      </c>
    </row>
    <row r="29" ht="22.5" customHeight="1">
      <c r="A29" s="7">
        <v>46210.546188078704</v>
      </c>
      <c r="B29" s="8" t="s">
        <v>13</v>
      </c>
      <c r="C29" s="8" t="s">
        <v>57</v>
      </c>
      <c r="D29" s="27">
        <v>15949.0</v>
      </c>
      <c r="E29" s="8">
        <v>0.0</v>
      </c>
      <c r="F29" s="9">
        <f t="shared" si="1"/>
        <v>15949</v>
      </c>
      <c r="G29" s="22">
        <v>3.0</v>
      </c>
      <c r="H29" s="11">
        <f t="shared" si="2"/>
        <v>12.92937981</v>
      </c>
      <c r="I29" s="12">
        <f t="shared" si="3"/>
        <v>-6335.765957</v>
      </c>
      <c r="J29" s="13">
        <f>(G29-G49)*I29</f>
        <v>22781.79674</v>
      </c>
    </row>
    <row r="30" ht="22.5" customHeight="1">
      <c r="A30" s="7">
        <v>46210.57167346065</v>
      </c>
      <c r="B30" s="8" t="s">
        <v>13</v>
      </c>
      <c r="C30" s="8" t="s">
        <v>58</v>
      </c>
      <c r="D30" s="27">
        <v>15153.0</v>
      </c>
      <c r="E30" s="8">
        <v>9506.0</v>
      </c>
      <c r="F30" s="9">
        <f t="shared" si="1"/>
        <v>24659</v>
      </c>
      <c r="G30" s="10">
        <v>6.0</v>
      </c>
      <c r="H30" s="11">
        <f t="shared" si="2"/>
        <v>0.3549117248</v>
      </c>
      <c r="I30" s="12">
        <f t="shared" si="3"/>
        <v>2374.234043</v>
      </c>
      <c r="J30" s="13">
        <f>(G30-G49)*I30</f>
        <v>-1414.437302</v>
      </c>
    </row>
    <row r="31" ht="22.5" customHeight="1">
      <c r="A31" s="7">
        <v>46210.572976689815</v>
      </c>
      <c r="B31" s="8" t="s">
        <v>47</v>
      </c>
      <c r="C31" s="8" t="s">
        <v>59</v>
      </c>
      <c r="D31" s="30">
        <v>14126.0</v>
      </c>
      <c r="E31" s="8">
        <v>0.0</v>
      </c>
      <c r="F31" s="8">
        <f t="shared" si="1"/>
        <v>14126</v>
      </c>
      <c r="G31" s="14">
        <v>5.0</v>
      </c>
      <c r="H31" s="11">
        <f t="shared" si="2"/>
        <v>2.546401086</v>
      </c>
      <c r="I31" s="12">
        <f t="shared" si="3"/>
        <v>-8158.765957</v>
      </c>
      <c r="J31" s="13">
        <f>(G31-G49)*I31</f>
        <v>13019.30738</v>
      </c>
    </row>
    <row r="32" ht="22.5" customHeight="1">
      <c r="A32" s="7">
        <v>46210.57311938658</v>
      </c>
      <c r="B32" s="8" t="s">
        <v>10</v>
      </c>
      <c r="C32" s="8" t="s">
        <v>60</v>
      </c>
      <c r="D32" s="27">
        <v>7848.0</v>
      </c>
      <c r="E32" s="8">
        <v>0.0</v>
      </c>
      <c r="F32" s="9">
        <f t="shared" si="1"/>
        <v>7848</v>
      </c>
      <c r="G32" s="10">
        <v>4.0</v>
      </c>
      <c r="H32" s="11">
        <f t="shared" si="2"/>
        <v>6.737890448</v>
      </c>
      <c r="I32" s="12">
        <f t="shared" si="3"/>
        <v>-14436.76596</v>
      </c>
      <c r="J32" s="13">
        <f>(G32-G49)*I32</f>
        <v>37474.15844</v>
      </c>
    </row>
    <row r="33" ht="22.5" customHeight="1">
      <c r="A33" s="7">
        <v>46210.733241574075</v>
      </c>
      <c r="B33" s="8" t="s">
        <v>10</v>
      </c>
      <c r="C33" s="8" t="s">
        <v>61</v>
      </c>
      <c r="D33" s="31">
        <v>5950.0</v>
      </c>
      <c r="E33" s="8">
        <v>614.0</v>
      </c>
      <c r="F33" s="9">
        <f t="shared" si="1"/>
        <v>6564</v>
      </c>
      <c r="G33" s="14">
        <v>3.0</v>
      </c>
      <c r="H33" s="11">
        <f t="shared" si="2"/>
        <v>12.92937981</v>
      </c>
      <c r="I33" s="12">
        <f t="shared" si="3"/>
        <v>-15720.76596</v>
      </c>
      <c r="J33" s="13">
        <f>(G33-G49)*I33</f>
        <v>56527.86057</v>
      </c>
    </row>
    <row r="34" ht="22.5" customHeight="1">
      <c r="A34" s="7">
        <v>46210.833007430556</v>
      </c>
      <c r="B34" s="8" t="s">
        <v>13</v>
      </c>
      <c r="C34" s="8" t="s">
        <v>62</v>
      </c>
      <c r="D34" s="27">
        <v>16878.0</v>
      </c>
      <c r="E34" s="8">
        <v>9506.0</v>
      </c>
      <c r="F34" s="9">
        <f t="shared" si="1"/>
        <v>26384</v>
      </c>
      <c r="G34" s="25">
        <v>6.0</v>
      </c>
      <c r="H34" s="11">
        <f t="shared" si="2"/>
        <v>0.3549117248</v>
      </c>
      <c r="I34" s="12">
        <f t="shared" si="3"/>
        <v>4099.234043</v>
      </c>
      <c r="J34" s="13">
        <f>(G34-G49)*I34</f>
        <v>-2442.096876</v>
      </c>
    </row>
    <row r="35" ht="22.5" customHeight="1">
      <c r="A35" s="7">
        <v>46210.843065497684</v>
      </c>
      <c r="B35" s="8" t="s">
        <v>13</v>
      </c>
      <c r="C35" s="8" t="s">
        <v>63</v>
      </c>
      <c r="D35" s="23">
        <v>21510.0</v>
      </c>
      <c r="E35" s="8">
        <v>0.0</v>
      </c>
      <c r="F35" s="9">
        <f t="shared" si="1"/>
        <v>21510</v>
      </c>
      <c r="G35" s="14">
        <v>8.0</v>
      </c>
      <c r="H35" s="11">
        <f t="shared" si="2"/>
        <v>1.971933001</v>
      </c>
      <c r="I35" s="12">
        <f t="shared" si="3"/>
        <v>-774.7659574</v>
      </c>
      <c r="J35" s="13">
        <f>(G35-G49)*I35</f>
        <v>-1087.969217</v>
      </c>
    </row>
    <row r="36" ht="22.5" customHeight="1">
      <c r="A36" s="7">
        <v>46210.84443596065</v>
      </c>
      <c r="B36" s="8" t="s">
        <v>13</v>
      </c>
      <c r="C36" s="8" t="s">
        <v>64</v>
      </c>
      <c r="D36" s="27">
        <v>25887.0</v>
      </c>
      <c r="E36" s="8">
        <v>14141.0</v>
      </c>
      <c r="F36" s="9">
        <f t="shared" si="1"/>
        <v>40028</v>
      </c>
      <c r="G36" s="10">
        <v>5.0</v>
      </c>
      <c r="H36" s="11">
        <f t="shared" si="2"/>
        <v>2.546401086</v>
      </c>
      <c r="I36" s="12">
        <f t="shared" si="3"/>
        <v>17743.23404</v>
      </c>
      <c r="J36" s="13">
        <f>(G36-G49)*I36</f>
        <v>-28313.67134</v>
      </c>
    </row>
    <row r="37" ht="22.5" customHeight="1">
      <c r="A37" s="7">
        <v>46210.852814467595</v>
      </c>
      <c r="B37" s="8" t="s">
        <v>13</v>
      </c>
      <c r="C37" s="8" t="s">
        <v>65</v>
      </c>
      <c r="D37" s="27">
        <v>15949.0</v>
      </c>
      <c r="E37" s="8">
        <v>0.0</v>
      </c>
      <c r="F37" s="9">
        <f t="shared" si="1"/>
        <v>15949</v>
      </c>
      <c r="G37" s="14">
        <v>10.0</v>
      </c>
      <c r="H37" s="11">
        <f t="shared" si="2"/>
        <v>11.58895428</v>
      </c>
      <c r="I37" s="12">
        <f t="shared" si="3"/>
        <v>-6335.765957</v>
      </c>
      <c r="J37" s="13">
        <f>(G37-G49)*I37</f>
        <v>-21568.56496</v>
      </c>
    </row>
    <row r="38" ht="22.5" customHeight="1">
      <c r="A38" s="32">
        <v>46210.874961203706</v>
      </c>
      <c r="B38" s="33" t="s">
        <v>13</v>
      </c>
      <c r="C38" s="33" t="s">
        <v>66</v>
      </c>
      <c r="D38" s="27">
        <v>11532.0</v>
      </c>
      <c r="E38" s="30">
        <v>17361.0</v>
      </c>
      <c r="F38" s="34">
        <f t="shared" si="1"/>
        <v>28893</v>
      </c>
      <c r="G38" s="10">
        <v>12.0</v>
      </c>
      <c r="H38" s="11">
        <f t="shared" si="2"/>
        <v>29.20597555</v>
      </c>
      <c r="I38" s="12">
        <f t="shared" si="3"/>
        <v>6608.234043</v>
      </c>
      <c r="J38" s="13">
        <f>(G38-G49)*I38</f>
        <v>35712.58397</v>
      </c>
    </row>
    <row r="39" ht="22.5" customHeight="1">
      <c r="A39" s="32">
        <v>46210.89095376157</v>
      </c>
      <c r="B39" s="33" t="s">
        <v>47</v>
      </c>
      <c r="C39" s="33" t="s">
        <v>67</v>
      </c>
      <c r="D39" s="27">
        <v>57322.0</v>
      </c>
      <c r="E39" s="30">
        <v>0.0</v>
      </c>
      <c r="F39" s="34">
        <f t="shared" si="1"/>
        <v>57322</v>
      </c>
      <c r="G39" s="14">
        <v>3.0</v>
      </c>
      <c r="H39" s="11">
        <f t="shared" si="2"/>
        <v>12.92937981</v>
      </c>
      <c r="I39" s="12">
        <f t="shared" si="3"/>
        <v>35037.23404</v>
      </c>
      <c r="J39" s="13">
        <f>(G39-G49)*I39</f>
        <v>-125984.9479</v>
      </c>
    </row>
    <row r="40" ht="22.5" customHeight="1">
      <c r="A40" s="32">
        <v>46210.90184663194</v>
      </c>
      <c r="B40" s="33" t="s">
        <v>13</v>
      </c>
      <c r="C40" s="33" t="s">
        <v>68</v>
      </c>
      <c r="D40" s="27">
        <v>15194.0</v>
      </c>
      <c r="E40" s="30">
        <v>6365.0</v>
      </c>
      <c r="F40" s="34">
        <f t="shared" si="1"/>
        <v>21559</v>
      </c>
      <c r="G40" s="10">
        <v>7.0</v>
      </c>
      <c r="H40" s="11">
        <f t="shared" si="2"/>
        <v>0.1634223631</v>
      </c>
      <c r="I40" s="12">
        <f t="shared" si="3"/>
        <v>-725.7659574</v>
      </c>
      <c r="J40" s="13">
        <f>(G40-G49)*I40</f>
        <v>-293.3947488</v>
      </c>
    </row>
    <row r="41" ht="22.5" customHeight="1">
      <c r="A41" s="32">
        <v>46210.924011423616</v>
      </c>
      <c r="B41" s="33" t="s">
        <v>13</v>
      </c>
      <c r="C41" s="33" t="s">
        <v>69</v>
      </c>
      <c r="D41" s="27">
        <v>17696.0</v>
      </c>
      <c r="E41" s="30">
        <v>14244.0</v>
      </c>
      <c r="F41" s="34">
        <f t="shared" si="1"/>
        <v>31940</v>
      </c>
      <c r="G41" s="14">
        <v>7.0</v>
      </c>
      <c r="H41" s="11">
        <f t="shared" si="2"/>
        <v>0.1634223631</v>
      </c>
      <c r="I41" s="12">
        <f t="shared" si="3"/>
        <v>9655.234043</v>
      </c>
      <c r="J41" s="13">
        <f>(G41-G49)*I41</f>
        <v>3903.179719</v>
      </c>
    </row>
    <row r="42" ht="22.5" customHeight="1">
      <c r="A42" s="32">
        <v>46210.974087870374</v>
      </c>
      <c r="B42" s="33" t="s">
        <v>13</v>
      </c>
      <c r="C42" s="33" t="s">
        <v>70</v>
      </c>
      <c r="D42" s="23">
        <v>29327.0</v>
      </c>
      <c r="E42" s="30">
        <v>19512.0</v>
      </c>
      <c r="F42" s="34">
        <f t="shared" si="1"/>
        <v>48839</v>
      </c>
      <c r="G42" s="10">
        <v>13.0</v>
      </c>
      <c r="H42" s="11">
        <f t="shared" si="2"/>
        <v>41.01448619</v>
      </c>
      <c r="I42" s="12">
        <f t="shared" si="3"/>
        <v>26554.23404</v>
      </c>
      <c r="J42" s="13">
        <f>(G42-G49)*I42</f>
        <v>170060.0946</v>
      </c>
    </row>
    <row r="43" ht="22.5" customHeight="1">
      <c r="A43" s="32">
        <v>46210.98798252315</v>
      </c>
      <c r="B43" s="33" t="s">
        <v>13</v>
      </c>
      <c r="C43" s="33" t="s">
        <v>71</v>
      </c>
      <c r="D43" s="27">
        <v>23329.0</v>
      </c>
      <c r="E43" s="30">
        <v>22603.0</v>
      </c>
      <c r="F43" s="34">
        <f t="shared" si="1"/>
        <v>45932</v>
      </c>
      <c r="G43" s="22">
        <v>12.0</v>
      </c>
      <c r="H43" s="11">
        <f t="shared" si="2"/>
        <v>29.20597555</v>
      </c>
      <c r="I43" s="12">
        <f t="shared" si="3"/>
        <v>23647.23404</v>
      </c>
      <c r="J43" s="13">
        <f>(G43-G49)*I43</f>
        <v>127795.6904</v>
      </c>
    </row>
    <row r="44" ht="22.5" customHeight="1">
      <c r="A44" s="32">
        <v>46211.34910378473</v>
      </c>
      <c r="B44" s="33" t="s">
        <v>10</v>
      </c>
      <c r="C44" s="33" t="s">
        <v>72</v>
      </c>
      <c r="D44" s="27">
        <v>4435.0</v>
      </c>
      <c r="E44" s="30">
        <v>0.0</v>
      </c>
      <c r="F44" s="34">
        <f t="shared" si="1"/>
        <v>4435</v>
      </c>
      <c r="G44" s="10">
        <v>5.0</v>
      </c>
      <c r="H44" s="11">
        <f t="shared" si="2"/>
        <v>2.546401086</v>
      </c>
      <c r="I44" s="12">
        <f t="shared" si="3"/>
        <v>-17849.76596</v>
      </c>
      <c r="J44" s="13">
        <f>(G44-G49)*I44</f>
        <v>28483.66908</v>
      </c>
    </row>
    <row r="45" ht="22.5" customHeight="1">
      <c r="A45" s="32">
        <v>46211.39012797453</v>
      </c>
      <c r="B45" s="33" t="s">
        <v>10</v>
      </c>
      <c r="C45" s="33" t="s">
        <v>73</v>
      </c>
      <c r="D45" s="31">
        <v>11357.0</v>
      </c>
      <c r="E45" s="24">
        <v>2816.0</v>
      </c>
      <c r="F45" s="34">
        <f t="shared" si="1"/>
        <v>14173</v>
      </c>
      <c r="G45" s="14">
        <v>8.0</v>
      </c>
      <c r="H45" s="11">
        <f t="shared" si="2"/>
        <v>1.971933001</v>
      </c>
      <c r="I45" s="12">
        <f t="shared" si="3"/>
        <v>-8111.765957</v>
      </c>
      <c r="J45" s="13">
        <f>(G45-G49)*I45</f>
        <v>-11390.99049</v>
      </c>
    </row>
    <row r="46" ht="22.5" customHeight="1">
      <c r="A46" s="32">
        <v>46211.41214298611</v>
      </c>
      <c r="B46" s="33" t="s">
        <v>10</v>
      </c>
      <c r="C46" s="33" t="s">
        <v>74</v>
      </c>
      <c r="D46" s="30">
        <v>7977.0</v>
      </c>
      <c r="E46" s="8">
        <v>0.0</v>
      </c>
      <c r="F46" s="35">
        <f t="shared" si="1"/>
        <v>7977</v>
      </c>
      <c r="G46" s="10">
        <v>4.0</v>
      </c>
      <c r="H46" s="11">
        <f t="shared" si="2"/>
        <v>6.737890448</v>
      </c>
      <c r="I46" s="12">
        <f t="shared" si="3"/>
        <v>-14307.76596</v>
      </c>
      <c r="J46" s="13">
        <f>(G46-G49)*I46</f>
        <v>37139.30738</v>
      </c>
    </row>
    <row r="47" ht="22.5" customHeight="1">
      <c r="A47" s="32">
        <v>46211.46275148148</v>
      </c>
      <c r="B47" s="33" t="s">
        <v>10</v>
      </c>
      <c r="C47" s="33" t="s">
        <v>75</v>
      </c>
      <c r="D47" s="31">
        <v>7977.0</v>
      </c>
      <c r="E47" s="8">
        <v>0.0</v>
      </c>
      <c r="F47" s="34">
        <f t="shared" si="1"/>
        <v>7977</v>
      </c>
      <c r="G47" s="14">
        <v>3.0</v>
      </c>
      <c r="H47" s="11">
        <f t="shared" si="2"/>
        <v>12.92937981</v>
      </c>
      <c r="I47" s="12">
        <f t="shared" si="3"/>
        <v>-14307.76596</v>
      </c>
      <c r="J47" s="13">
        <f>(G47-G49)*I47</f>
        <v>51447.07334</v>
      </c>
    </row>
    <row r="48" ht="22.5" customHeight="1">
      <c r="A48" s="32">
        <v>46211.52474715278</v>
      </c>
      <c r="B48" s="33" t="s">
        <v>13</v>
      </c>
      <c r="C48" s="33" t="s">
        <v>76</v>
      </c>
      <c r="D48" s="27">
        <v>17696.0</v>
      </c>
      <c r="E48" s="8">
        <v>9506.0</v>
      </c>
      <c r="F48" s="34">
        <f t="shared" si="1"/>
        <v>27202</v>
      </c>
      <c r="G48" s="36">
        <v>7.0</v>
      </c>
      <c r="H48" s="11">
        <f t="shared" si="2"/>
        <v>0.1634223631</v>
      </c>
      <c r="I48" s="12">
        <f t="shared" si="3"/>
        <v>4917.234043</v>
      </c>
      <c r="J48" s="13">
        <f>(G48-G49)*I48</f>
        <v>1987.818017</v>
      </c>
    </row>
    <row r="49" ht="22.5" customHeight="1">
      <c r="F49" s="37">
        <f>SUM(Table1[Total Benchmark])</f>
        <v>1047384</v>
      </c>
      <c r="G49" s="38">
        <f>AVERAGE(Table1[Rata rata jam penggunaan laptop per hari])</f>
        <v>6.595744681</v>
      </c>
      <c r="H49" s="39">
        <f>SUM(Table1[x-xRata^2 jam])/46</f>
        <v>10.34389454</v>
      </c>
      <c r="I49" s="40"/>
      <c r="J49" s="40"/>
    </row>
    <row r="50">
      <c r="G50" s="41">
        <f>SUM(Table1[Rata rata jam penggunaan laptop per hari])</f>
        <v>310</v>
      </c>
    </row>
  </sheetData>
  <mergeCells count="2">
    <mergeCell ref="L22:M22"/>
    <mergeCell ref="L23:M23"/>
  </mergeCells>
  <drawing r:id="rId1"/>
  <tableParts count="2">
    <tablePart r:id="rId4"/>
    <tablePart r:id="rId5"/>
  </tableParts>
</worksheet>
</file>